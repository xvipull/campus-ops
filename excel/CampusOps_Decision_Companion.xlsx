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aa84349f8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Overview" sheetId="1" r:id="R90bfd52d9ad64d63"/>
    <x:sheet xmlns:r="http://schemas.openxmlformats.org/officeDocument/2006/relationships" name="Trend Analysis" sheetId="2" r:id="Rd2522e1f441a4581"/>
    <x:sheet xmlns:r="http://schemas.openxmlformats.org/officeDocument/2006/relationships" name="Scenarios" sheetId="3" r:id="Re292d66af0bb474b"/>
    <x:sheet xmlns:r="http://schemas.openxmlformats.org/officeDocument/2006/relationships" name="Exceptions" sheetId="4" r:id="R76652b59867841e0"/>
    <x:sheet xmlns:r="http://schemas.openxmlformats.org/officeDocument/2006/relationships" name="Data Quality" sheetId="5" r:id="R400c9cc6adc84775"/>
    <x:sheet xmlns:r="http://schemas.openxmlformats.org/officeDocument/2006/relationships" name="Definitions" sheetId="6" r:id="Rde3f23d8f43b4cc6"/>
    <x:sheet xmlns:r="http://schemas.openxmlformats.org/officeDocument/2006/relationships" name="Power Query" sheetId="7" r:id="R7bd1e68d8a2f4be9"/>
    <x:sheet xmlns:r="http://schemas.openxmlformats.org/officeDocument/2006/relationships" name="Model Data" sheetId="8" r:id="Rd1dcafd821d0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#,##0.0"/>
  </x:numFmts>
  <x:fonts count="8">
    <x:font>
      <x:sz val="11"/>
      <x:name val="Carlito"/>
    </x:font>
    <x:font>
      <x:b/>
      <x:sz val="18"/>
      <x:color rgb="FF17365D"/>
      <x:name val="Arial"/>
    </x:font>
    <x:font>
      <x:i/>
      <x:sz val="10"/>
      <x:color rgb="FF666666"/>
      <x:name val="Arial"/>
    </x:font>
    <x:font>
      <x:b/>
      <x:sz val="11"/>
      <x:color rgb="FFFFFFFF"/>
      <x:name val="Arial"/>
    </x:font>
    <x:font>
      <x:b/>
      <x:sz val="12"/>
      <x:name val="Arial"/>
    </x:font>
    <x:font>
      <x:sz val="10"/>
      <x:name val="Courier New"/>
    </x:font>
    <x:font>
      <x:b/>
      <x:sz val="10"/>
      <x:color rgb="FFFFFFFF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>
      <x:bottom style="medium">
        <x:color rgb="FF1F4E78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0" fontId="4" fillId="3" borderId="0" xfId="0" applyNumberFormat="1" applyFont="1" applyFill="1" applyBorder="1" applyAlignment="1">
      <x:alignment horizontal="center"/>
    </x:xf>
    <x:xf numFmtId="201" fontId="4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202" fontId="7" fillId="0" borderId="0" xfId="0" applyNumberFormat="1" applyFont="1" applyFill="1" applyBorder="1"/>
    <x:xf numFmtId="201" fontId="7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1800a95b24280" /><Relationship Type="http://schemas.openxmlformats.org/officeDocument/2006/relationships/theme" Target="/xl/theme/theme1.xml" Id="R4afc54f2170b44d1" /><Relationship Type="http://schemas.openxmlformats.org/officeDocument/2006/relationships/sharedStrings" Target="/xl/sharedStrings.xml" Id="R5faa548786de471f" /><Relationship Type="http://schemas.openxmlformats.org/officeDocument/2006/relationships/worksheet" Target="/xl/worksheets/sheet1.xml" Id="R90bfd52d9ad64d63" /><Relationship Type="http://schemas.openxmlformats.org/officeDocument/2006/relationships/worksheet" Target="/xl/worksheets/sheet2.xml" Id="Rd2522e1f441a4581" /><Relationship Type="http://schemas.openxmlformats.org/officeDocument/2006/relationships/worksheet" Target="/xl/worksheets/sheet3.xml" Id="Re292d66af0bb474b" /><Relationship Type="http://schemas.openxmlformats.org/officeDocument/2006/relationships/worksheet" Target="/xl/worksheets/sheet4.xml" Id="R76652b59867841e0" /><Relationship Type="http://schemas.openxmlformats.org/officeDocument/2006/relationships/worksheet" Target="/xl/worksheets/sheet5.xml" Id="R400c9cc6adc84775" /><Relationship Type="http://schemas.openxmlformats.org/officeDocument/2006/relationships/worksheet" Target="/xl/worksheets/sheet6.xml" Id="Rde3f23d8f43b4cc6" /><Relationship Type="http://schemas.openxmlformats.org/officeDocument/2006/relationships/worksheet" Target="/xl/worksheets/sheet7.xml" Id="R7bd1e68d8a2f4be9" /><Relationship Type="http://schemas.openxmlformats.org/officeDocument/2006/relationships/worksheet" Target="/xl/worksheets/sheet8.xml" Id="Rd1dcafd821d049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8084e89d494a0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1f37ec1e9c54d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Fall 2026 enrollment by department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Active students</c:v>
          </c:tx>
          <c:cat>
            <c:strRef>
              <c:f>'Executive Overview'!$B$10:$B$12</c:f>
              <c:strCache>
                <c:ptCount val="0"/>
              </c:strCache>
            </c:strRef>
          </c:cat>
          <c:val>
            <c:numRef>
              <c:f>'Executive Overview'!$C$10:$C$12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Active enrollment trend by department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BIO</c:v>
          </c:tx>
          <c:marker>
            <c:symbol val="none"/>
          </c:marker>
          <c:cat>
            <c:strRef>
              <c:f>'Trend Analysis'!$G$6:$G$8</c:f>
              <c:strCache>
                <c:ptCount val="0"/>
              </c:strCache>
            </c:strRef>
          </c:cat>
          <c:val>
            <c:numRef>
              <c:f>'Trend Analysis'!$H$6:$H$8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BUS</c:v>
          </c:tx>
          <c:marker>
            <c:symbol val="none"/>
          </c:marker>
          <c:cat>
            <c:strRef>
              <c:f>'Trend Analysis'!$G$6:$G$8</c:f>
              <c:strCache>
                <c:ptCount val="0"/>
              </c:strCache>
            </c:strRef>
          </c:cat>
          <c:val>
            <c:numRef>
              <c:f>'Trend Analysis'!$I$6:$I$8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CS</c:v>
          </c:tx>
          <c:marker>
            <c:symbol val="none"/>
          </c:marker>
          <c:cat>
            <c:strRef>
              <c:f>'Trend Analysis'!$G$6:$G$8</c:f>
              <c:strCache>
                <c:ptCount val="0"/>
              </c:strCache>
            </c:strRef>
          </c:cat>
          <c:val>
            <c:numRef>
              <c:f>'Trend Analysis'!$J$6:$J$8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8084e89d494a0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f37ec1e9c54d3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endData" displayName="TrendData" ref="A5:E14" headerRowCount="1" totalsRowCount="0" totalsRowShown="0">
  <x:tableColumns count="5">
    <x:tableColumn id="1" name="Term"/>
    <x:tableColumn id="2" name="Department"/>
    <x:tableColumn id="3" name="Active students"/>
    <x:tableColumn id="4" name="Change"/>
    <x:tableColumn id="5" name="Change %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Exceptions" displayName="PlanExceptions" ref="A5:G9" headerRowCount="1" totalsRowCount="0" totalsRowShown="0">
  <x:tableColumns count="7">
    <x:tableColumn id="1" name="Term"/>
    <x:tableColumn id="2" name="Department"/>
    <x:tableColumn id="3" name="Scenario"/>
    <x:tableColumn id="4" name="Forecast"/>
    <x:tableColumn id="5" name="Actual"/>
    <x:tableColumn id="6" name="Variance %"/>
    <x:tableColumn id="7" name="SCH ga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tyControls" displayName="QualityControls" ref="A5:F8" headerRowCount="1" totalsRowCount="0" totalsRowShown="0">
  <x:tableColumns count="6">
    <x:tableColumn id="1" name="Metric"/>
    <x:tableColumn id="2" name="Source"/>
    <x:tableColumn id="3" name="Curated"/>
    <x:tableColumn id="4" name="Reporting"/>
    <x:tableColumn id="5" name="Tolerance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rollmentModel" displayName="EnrollmentModel" ref="A5:I14" headerRowCount="1" totalsRowCount="0" totalsRowShown="0">
  <x:tableColumns count="9">
    <x:tableColumn id="1" name="Term"/>
    <x:tableColumn id="2" name="Term name"/>
    <x:tableColumn id="3" name="Start date"/>
    <x:tableColumn id="4" name="Org"/>
    <x:tableColumn id="5" name="Org name"/>
    <x:tableColumn id="6" name="Active students"/>
    <x:tableColumn id="7" name="Withdrawn students"/>
    <x:tableColumn id="8" name="Active credits"/>
    <x:tableColumn id="9" name="Withdrawal r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essureModel" displayName="PressureModel" ref="K5:X11" headerRowCount="1" totalsRowCount="0" totalsRowShown="0">
  <x:tableColumns count="14">
    <x:tableColumn id="1" name="Term"/>
    <x:tableColumn id="2" name="Scenario"/>
    <x:tableColumn id="3" name="Rank"/>
    <x:tableColumn id="4" name="Org"/>
    <x:tableColumn id="5" name="Org name"/>
    <x:tableColumn id="6" name="Growth"/>
    <x:tableColumn id="7" name="Projected enrollment"/>
    <x:tableColumn id="8" name="Projected SCH"/>
    <x:tableColumn id="9" name="Required sections"/>
    <x:tableColumn id="10" name="Course pressure"/>
    <x:tableColumn id="11" name="Faculty pressure"/>
    <x:tableColumn id="12" name="Room pressure"/>
    <x:tableColumn id="13" name="Composite pressure"/>
    <x:tableColumn id="14" name="Lookup 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b20402ad4e47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4b4bf2f6027429a" /><Relationship Type="http://schemas.openxmlformats.org/officeDocument/2006/relationships/table" Target="/xl/tables/table1.xml" Id="Rac6546d8716449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352891a90cc44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4cdc5ae4b8740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82a0876cbccb4cd9" /><Relationship Type="http://schemas.openxmlformats.org/officeDocument/2006/relationships/table" Target="/xl/tables/table5.xml" Id="Rf7c766f0f80b4cf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5" hidden="0" customWidth="1"/>
    <x:col min="2" max="2" width="18.110000610351562" hidden="0" customWidth="1"/>
    <x:col min="3" max="3" width="12.670000076293945" hidden="0" customWidth="1"/>
    <x:col min="4" max="4" width="21.110000610351562" hidden="0" customWidth="1"/>
    <x:col min="5" max="5" width="7.329999923706055" hidden="0" customWidth="1"/>
    <x:col min="6" max="6" width="12.890000343322754" hidden="0" customWidth="1"/>
    <x:col min="7" max="7" width="15.220000267028809" hidden="0" customWidth="1"/>
    <x:col min="8" max="8" width="9.670000076293945" hidden="0" customWidth="1"/>
  </x:cols>
  <x:sheetData>
    <x:row r="1" ht="21.600000381469727" hidden="0" customHeight="1">
      <x:c r="A1" s="1" t="str">
        <x:v>Campus Operations</x:v>
      </x:c>
    </x:row>
    <x:row r="2" ht="15" hidden="0" customHeight="1">
      <x:c r="A2" s="2" t="str">
        <x:v>University Enrollment, Retention &amp; Resource Planning | Offline decision companion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/>
    <x:row r="5" ht="15" hidden="0" customHeight="1">
      <x:c r="A5" s="8" t="str">
        <x:v>Active enrollment</x:v>
      </x:c>
      <x:c r="B5" s="8" t="str">
        <x:v>Active credits</x:v>
      </x:c>
      <x:c r="C5" s="8" t="str">
        <x:v>Withdrawal rate</x:v>
      </x:c>
      <x:c r="D5" s="8" t="str">
        <x:v>Highest resource pressure</x:v>
      </x:c>
      <x:c r="E5" s="8" t="str">
        <x:v>Target</x:v>
      </x:c>
      <x:c r="F5" s="8" t="str">
        <x:v>Plan exceptions</x:v>
      </x:c>
      <x:c r="G5" s="8" t="str">
        <x:v>Refresh status</x:v>
      </x:c>
      <x:c r="H5" s="8" t="str">
        <x:v>Definitions</x:v>
      </x:c>
    </x:row>
    <x:row r="6" ht="15" hidden="0" customHeight="1">
      <x:c r="A6" s="12" t="n">
        <x:f>SUM('Model Data'!F6:F14)</x:f>
        <x:v>16</x:v>
      </x:c>
      <x:c r="B6" s="12" t="n">
        <x:f>SUM('Model Data'!H6:H14)</x:f>
        <x:v>192</x:v>
      </x:c>
      <x:c r="C6" s="13" t="n">
        <x:f>SUM('Model Data'!G6:G14)/(SUM('Model Data'!F6:F14)+SUM('Model Data'!G6:G14))</x:f>
        <x:v>0.15789473684210525</x:v>
      </x:c>
      <x:c r="D6" s="13" t="n">
        <x:f>MAX('Model Data'!W6:W11)</x:f>
        <x:v>1.9517</x:v>
      </x:c>
      <x:c r="E6" s="13" t="n">
        <x:f>1</x:f>
        <x:v>1</x:v>
      </x:c>
      <x:c r="F6" s="11" t="n">
        <x:f>COUNT('Exceptions'!G6:G20)</x:f>
        <x:v>4</x:v>
      </x:c>
      <x:c r="G6" s="11" t="str">
        <x:f>IF(COUNTIF('Data Quality'!F6:F10,"PASS")=3,"Current","Review quality")</x:f>
        <x:v>Current</x:v>
      </x:c>
      <x:c r="H6" s="11" t="str">
        <x:f>"Definitions"</x:f>
        <x:v>Definitions</x:v>
      </x:c>
    </x:row>
    <x:row r="7"/>
    <x:row r="8"/>
    <x:row r="9" ht="15" hidden="0" customHeight="1">
      <x:c r="A9" s="8" t="str">
        <x:v>Term</x:v>
      </x:c>
      <x:c r="B9" s="8" t="str">
        <x:v>Department</x:v>
      </x:c>
      <x:c r="C9" s="8" t="str">
        <x:v>Active students</x:v>
      </x:c>
      <x:c r="D9" s="8" t="str">
        <x:v>Active credits</x:v>
      </x:c>
      <x:c r="E9" s="8" t="str">
        <x:v>Forecast</x:v>
      </x:c>
      <x:c r="F9" s="8" t="str">
        <x:v>Variance %</x:v>
      </x:c>
      <x:c r="G9" s="8" t="str">
        <x:v>Resource pressure</x:v>
      </x:c>
    </x:row>
    <x:row r="10" ht="15" hidden="0" customHeight="1">
      <x:c r="A10" t="str">
        <x:v>Fall 2026</x:v>
      </x:c>
      <x:c r="B10" t="str">
        <x:v>Biology</x:v>
      </x:c>
      <x:c r="C10" t="n">
        <x:v>2</x:v>
      </x:c>
      <x:c r="D10" t="n">
        <x:v>24</x:v>
      </x:c>
      <x:c r="E10" t="n">
        <x:f>INDEX('Model Data'!$Q$6:$Q$11,MATCH(B10,'Model Data'!$O$6:$O$11,0))</x:f>
        <x:v>2</x:v>
      </x:c>
      <x:c r="F10" s="14" t="n">
        <x:f>IFERROR((C10-E10)/E10,"")</x:f>
        <x:v>0</x:v>
      </x:c>
      <x:c r="G10" s="14" t="n">
        <x:f>INDEX('Model Data'!$W$6:$W$11,MATCH(B10,'Model Data'!$O$6:$O$11,0))</x:f>
        <x:v>0.5944</x:v>
      </x:c>
    </x:row>
    <x:row r="11" ht="15" hidden="0" customHeight="1">
      <x:c r="A11" t="str">
        <x:v>Fall 2026</x:v>
      </x:c>
      <x:c r="B11" t="str">
        <x:v>Business Administration</x:v>
      </x:c>
      <x:c r="C11" t="n">
        <x:v>1</x:v>
      </x:c>
      <x:c r="D11" t="n">
        <x:v>12</x:v>
      </x:c>
      <x:c r="E11" t="n">
        <x:f>INDEX('Model Data'!$Q$6:$Q$11,MATCH(B11,'Model Data'!$O$6:$O$11,0))</x:f>
        <x:v>1</x:v>
      </x:c>
      <x:c r="F11" s="14" t="n">
        <x:f>IFERROR((C11-E11)/E11,"")</x:f>
        <x:v>0</x:v>
      </x:c>
      <x:c r="G11" s="14" t="n">
        <x:f>INDEX('Model Data'!$W$6:$W$11,MATCH(B11,'Model Data'!$O$6:$O$11,0))</x:f>
        <x:v>0.7917</x:v>
      </x:c>
    </x:row>
    <x:row r="12" ht="15" hidden="0" customHeight="1">
      <x:c r="A12" t="str">
        <x:v>Fall 2026</x:v>
      </x:c>
      <x:c r="B12" t="str">
        <x:v>Computer Science</x:v>
      </x:c>
      <x:c r="C12" t="n">
        <x:v>3</x:v>
      </x:c>
      <x:c r="D12" t="n">
        <x:v>39</x:v>
      </x:c>
      <x:c r="E12" t="n">
        <x:f>INDEX('Model Data'!$Q$6:$Q$11,MATCH(B12,'Model Data'!$O$6:$O$11,0))</x:f>
        <x:v>3</x:v>
      </x:c>
      <x:c r="F12" s="14" t="n">
        <x:f>IFERROR((C12-E12)/E12,"")</x:f>
        <x:v>0</x:v>
      </x:c>
      <x:c r="G12" s="14" t="n">
        <x:f>INDEX('Model Data'!$W$6:$W$11,MATCH(B12,'Model Data'!$O$6:$O$11,0))</x:f>
        <x:v>1.8</x:v>
      </x:c>
    </x:row>
    <x:row r="13"/>
    <x:row r="14"/>
    <x:row r="15"/>
    <x:row r="16"/>
    <x:row r="17"/>
    <x:row r="18"/>
  </x:sheetData>
  <x:conditionalFormatting sqref="F10:G12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pageMargins left="0.7" right="0.7" top="0.75" bottom="0.75" header="0.3" footer="0.3"/>
  <x:drawing xmlns:r="http://schemas.openxmlformats.org/officeDocument/2006/relationships" r:id="R2db20402ad4e47b8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.220001220703125" hidden="0" customWidth="1"/>
    <x:col min="2" max="2" width="11.779999732971191" hidden="0" customWidth="1"/>
    <x:col min="3" max="3" width="14.890000343322754" hidden="0" customWidth="1"/>
    <x:col min="4" max="4" width="8.670000076293945" hidden="0" customWidth="1"/>
    <x:col min="5" max="5" width="10.5600004196167" hidden="0" customWidth="1"/>
    <x:col min="7" max="7" width="9.329999923706055" hidden="0" customWidth="1"/>
    <x:col min="8" max="8" width="3.440000057220459" hidden="0" customWidth="1"/>
    <x:col min="9" max="9" width="3.890000104904175" hidden="0" customWidth="1"/>
    <x:col min="10" max="10" width="2.7799999713897705" hidden="0" customWidth="1"/>
  </x:cols>
  <x:sheetData>
    <x:row r="1" ht="21.600000381469727" hidden="0" customHeight="1">
      <x:c r="A1" s="1" t="str">
        <x:v>Enrollment trends</x:v>
      </x:c>
    </x:row>
    <x:row r="2" ht="15" hidden="0" customHeight="1">
      <x:c r="A2" s="2" t="str">
        <x:v>Period-over-period active enrollment by department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/>
    <x:row r="5" ht="15" hidden="0" customHeight="1">
      <x:c r="A5" s="8" t="str">
        <x:v>Term</x:v>
      </x:c>
      <x:c r="B5" s="8" t="str">
        <x:v>Department</x:v>
      </x:c>
      <x:c r="C5" s="8" t="str">
        <x:v>Active students</x:v>
      </x:c>
      <x:c r="D5" s="8" t="str">
        <x:v>Change</x:v>
      </x:c>
      <x:c r="E5" s="8" t="str">
        <x:v>Change %</x:v>
      </x:c>
      <x:c r="G5" s="8" t="str">
        <x:v>Term</x:v>
      </x:c>
      <x:c r="H5" s="8" t="str">
        <x:v>BIO</x:v>
      </x:c>
      <x:c r="I5" s="8" t="str">
        <x:v>BUS</x:v>
      </x:c>
      <x:c r="J5" s="8" t="str">
        <x:v>CS</x:v>
      </x:c>
    </x:row>
    <x:row r="6" ht="15" hidden="0" customHeight="1">
      <x:c r="A6" t="str">
        <x:v>Fall 2025</x:v>
      </x:c>
      <x:c r="B6" t="str">
        <x:v>BIO</x:v>
      </x:c>
      <x:c r="C6" t="n">
        <x:v>1</x:v>
      </x:c>
      <x:c r="D6"/>
      <x:c r="E6" s="14" t="n">
        <x:v>0</x:v>
      </x:c>
      <x:c r="G6" t="str">
        <x:v>Fall 2025</x:v>
      </x:c>
      <x:c r="H6" t="n">
        <x:v>1</x:v>
      </x:c>
      <x:c r="I6" t="n">
        <x:v>1</x:v>
      </x:c>
      <x:c r="J6" t="n">
        <x:v>3</x:v>
      </x:c>
    </x:row>
    <x:row r="7" ht="15" hidden="0" customHeight="1">
      <x:c r="A7" t="str">
        <x:v>Fall 2025</x:v>
      </x:c>
      <x:c r="B7" t="str">
        <x:v>BUS</x:v>
      </x:c>
      <x:c r="C7" t="n">
        <x:v>1</x:v>
      </x:c>
      <x:c r="D7"/>
      <x:c r="E7" s="14" t="n">
        <x:v>0</x:v>
      </x:c>
      <x:c r="G7" t="str">
        <x:v>Spring 2026</x:v>
      </x:c>
      <x:c r="H7" t="n">
        <x:v>2</x:v>
      </x:c>
      <x:c r="I7" t="n">
        <x:v>1</x:v>
      </x:c>
      <x:c r="J7" t="n">
        <x:v>2</x:v>
      </x:c>
    </x:row>
    <x:row r="8" ht="15" hidden="0" customHeight="1">
      <x:c r="A8" t="str">
        <x:v>Fall 2025</x:v>
      </x:c>
      <x:c r="B8" t="str">
        <x:v>CS</x:v>
      </x:c>
      <x:c r="C8" t="n">
        <x:v>3</x:v>
      </x:c>
      <x:c r="D8"/>
      <x:c r="E8" s="14" t="n">
        <x:v>0</x:v>
      </x:c>
      <x:c r="G8" t="str">
        <x:v>Fall 2026</x:v>
      </x:c>
      <x:c r="H8" t="n">
        <x:v>2</x:v>
      </x:c>
      <x:c r="I8" t="n">
        <x:v>1</x:v>
      </x:c>
      <x:c r="J8" t="n">
        <x:v>3</x:v>
      </x:c>
    </x:row>
    <x:row r="9" ht="15" hidden="0" customHeight="1">
      <x:c r="A9" t="str">
        <x:v>Spring 2026</x:v>
      </x:c>
      <x:c r="B9" t="str">
        <x:v>BIO</x:v>
      </x:c>
      <x:c r="C9" t="n">
        <x:v>2</x:v>
      </x:c>
      <x:c r="D9" t="n">
        <x:v>1</x:v>
      </x:c>
      <x:c r="E9" s="14" t="n">
        <x:v>1</x:v>
      </x:c>
    </x:row>
    <x:row r="10" ht="15" hidden="0" customHeight="1">
      <x:c r="A10" t="str">
        <x:v>Spring 2026</x:v>
      </x:c>
      <x:c r="B10" t="str">
        <x:v>BUS</x:v>
      </x:c>
      <x:c r="C10" t="n">
        <x:v>1</x:v>
      </x:c>
      <x:c r="D10" t="n">
        <x:v>0</x:v>
      </x:c>
      <x:c r="E10" s="14" t="n">
        <x:v>0</x:v>
      </x:c>
    </x:row>
    <x:row r="11" ht="15" hidden="0" customHeight="1">
      <x:c r="A11" t="str">
        <x:v>Spring 2026</x:v>
      </x:c>
      <x:c r="B11" t="str">
        <x:v>CS</x:v>
      </x:c>
      <x:c r="C11" t="n">
        <x:v>2</x:v>
      </x:c>
      <x:c r="D11" t="n">
        <x:v>-1</x:v>
      </x:c>
      <x:c r="E11" s="14" t="n">
        <x:v>-0.3333</x:v>
      </x:c>
    </x:row>
    <x:row r="12" ht="15" hidden="0" customHeight="1">
      <x:c r="A12" t="str">
        <x:v>Fall 2026</x:v>
      </x:c>
      <x:c r="B12" t="str">
        <x:v>BIO</x:v>
      </x:c>
      <x:c r="C12" t="n">
        <x:v>2</x:v>
      </x:c>
      <x:c r="D12" t="n">
        <x:v>0</x:v>
      </x:c>
      <x:c r="E12" s="14" t="n">
        <x:v>0</x:v>
      </x:c>
    </x:row>
    <x:row r="13" ht="15" hidden="0" customHeight="1">
      <x:c r="A13" t="str">
        <x:v>Fall 2026</x:v>
      </x:c>
      <x:c r="B13" t="str">
        <x:v>BUS</x:v>
      </x:c>
      <x:c r="C13" t="n">
        <x:v>1</x:v>
      </x:c>
      <x:c r="D13" t="n">
        <x:v>0</x:v>
      </x:c>
      <x:c r="E13" s="14" t="n">
        <x:v>0</x:v>
      </x:c>
    </x:row>
    <x:row r="14" ht="15" hidden="0" customHeight="1">
      <x:c r="A14" t="str">
        <x:v>Fall 2026</x:v>
      </x:c>
      <x:c r="B14" t="str">
        <x:v>CS</x:v>
      </x:c>
      <x:c r="C14" t="n">
        <x:v>3</x:v>
      </x:c>
      <x:c r="D14" t="n">
        <x:v>1</x:v>
      </x:c>
      <x:c r="E14" s="14" t="n">
        <x:v>0.5</x:v>
      </x:c>
    </x:row>
    <x:row r="15"/>
    <x:row r="16"/>
    <x:row r="17"/>
    <x:row r="18"/>
    <x:row r="19"/>
    <x:row r="20"/>
    <x:row r="21"/>
    <x:row r="22"/>
    <x:row r="23"/>
    <x:row r="24"/>
    <x:row r="25"/>
  </x:sheetData>
  <x:conditionalFormatting sqref="D6:E14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74b4bf2f6027429a"/>
  <x:tableParts count="1">
    <x:tablePart xmlns:r="http://schemas.openxmlformats.org/officeDocument/2006/relationships" r:id="Rac6546d871644930"/>
  </x:tableParts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3" hidden="0" customWidth="1"/>
    <x:col min="2" max="2" width="9.5600004196167" hidden="0" customWidth="1"/>
    <x:col min="3" max="3" width="25.670000076293945" hidden="0" customWidth="1"/>
    <x:col min="4" max="4" width="17.559999465942383" hidden="0" customWidth="1"/>
    <x:col min="5" max="5" width="16.670000076293945" hidden="0" customWidth="1"/>
    <x:col min="6" max="6" width="14.670000076293945" hidden="0" customWidth="1"/>
    <x:col min="7" max="7" width="13.4399995803833" hidden="0" customWidth="1"/>
    <x:col min="8" max="8" width="13.5600004196167" hidden="0" customWidth="1"/>
    <x:col min="9" max="9" width="12.4399995803833" hidden="0" customWidth="1"/>
    <x:col min="10" max="10" width="16.219999313354492" hidden="0" customWidth="1"/>
  </x:cols>
  <x:sheetData>
    <x:row r="1" ht="21.600000381469727" hidden="0" customHeight="1">
      <x:c r="A1" s="1" t="str">
        <x:v>Demand and capacity scenarios</x:v>
      </x:c>
    </x:row>
    <x:row r="2" ht="15" hidden="0" customHeight="1">
      <x:c r="A2" s="2" t="str">
        <x:v>Adjust growth assumptions in column C; calculated pressure updates through formula-linked scenario controls.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/>
    <x:row r="5" ht="15" hidden="0" customHeight="1">
      <x:c r="A5" s="8" t="str">
        <x:v>Term</x:v>
      </x:c>
      <x:c r="B5" s="8" t="str">
        <x:v>Department</x:v>
      </x:c>
      <x:c r="C5" s="8" t="str">
        <x:v>Growth input</x:v>
      </x:c>
      <x:c r="D5" s="8" t="str">
        <x:v>Baseline enrollment</x:v>
      </x:c>
      <x:c r="E5" s="8" t="str">
        <x:v>Projected enrollment</x:v>
      </x:c>
      <x:c r="F5" s="8" t="str">
        <x:v>Required sections</x:v>
      </x:c>
      <x:c r="G5" s="8" t="str">
        <x:v>Course pressure</x:v>
      </x:c>
      <x:c r="H5" s="8" t="str">
        <x:v>Faculty pressure</x:v>
      </x:c>
      <x:c r="I5" s="8" t="str">
        <x:v>Room pressure</x:v>
      </x:c>
      <x:c r="J5" s="8" t="str">
        <x:v>Composite pressure</x:v>
      </x:c>
    </x:row>
    <x:row r="6" ht="15" hidden="0" customHeight="1">
      <x:c r="A6" t="str">
        <x:v>FALL26</x:v>
      </x:c>
      <x:c r="B6" t="str">
        <x:v>CS</x:v>
      </x:c>
      <x:c r="C6" s="16" t="n">
        <x:v>0</x:v>
      </x:c>
      <x:c r="D6" t="n">
        <x:v>3</x:v>
      </x:c>
      <x:c r="E6" t="n">
        <x:f>D6*(1+C6)</x:f>
        <x:v>3</x:v>
      </x:c>
      <x:c r="F6" t="n">
        <x:f>ROUNDUP(E6/30,0)</x:f>
        <x:v>1</x:v>
      </x:c>
      <x:c r="G6" s="14" t="n">
        <x:f>F6/2</x:f>
        <x:v>0.5</x:v>
      </x:c>
      <x:c r="H6" s="14" t="n">
        <x:v>4.3333</x:v>
      </x:c>
      <x:c r="I6" s="14" t="n">
        <x:v>0.3333</x:v>
      </x:c>
      <x:c r="J6" s="14" t="n">
        <x:f>0.4*G6+0.35*H6+0.25*I6</x:f>
        <x:v>1.7999800000000001</x:v>
      </x:c>
    </x:row>
    <x:row r="7" ht="15" hidden="0" customHeight="1">
      <x:c r="A7" t="str">
        <x:v>FALL26</x:v>
      </x:c>
      <x:c r="B7" t="str">
        <x:v>BUS</x:v>
      </x:c>
      <x:c r="C7" s="16" t="n">
        <x:v>0</x:v>
      </x:c>
      <x:c r="D7" t="n">
        <x:v>1</x:v>
      </x:c>
      <x:c r="E7" t="n">
        <x:f>D7*(1+C7)</x:f>
        <x:v>1</x:v>
      </x:c>
      <x:c r="F7" t="n">
        <x:f>ROUNDUP(E7/30,0)</x:f>
        <x:v>1</x:v>
      </x:c>
      <x:c r="G7" s="14" t="n">
        <x:f>F7/2</x:f>
        <x:v>0.5</x:v>
      </x:c>
      <x:c r="H7" s="14" t="n">
        <x:v>1.3333</x:v>
      </x:c>
      <x:c r="I7" s="14" t="n">
        <x:v>0.5</x:v>
      </x:c>
      <x:c r="J7" s="14" t="n">
        <x:f>0.4*G7+0.35*H7+0.25*I7</x:f>
        <x:v>0.791655</x:v>
      </x:c>
    </x:row>
    <x:row r="8" ht="15" hidden="0" customHeight="1">
      <x:c r="A8" t="str">
        <x:v>FALL26</x:v>
      </x:c>
      <x:c r="B8" t="str">
        <x:v>BIO</x:v>
      </x:c>
      <x:c r="C8" s="16" t="n">
        <x:v>0</x:v>
      </x:c>
      <x:c r="D8" t="n">
        <x:v>2</x:v>
      </x:c>
      <x:c r="E8" t="n">
        <x:f>D8*(1+C8)</x:f>
        <x:v>2</x:v>
      </x:c>
      <x:c r="F8" t="n">
        <x:f>ROUNDUP(E8/30,0)</x:f>
        <x:v>1</x:v>
      </x:c>
      <x:c r="G8" s="14" t="n">
        <x:f>F8/2</x:f>
        <x:v>0.5</x:v>
      </x:c>
      <x:c r="H8" s="14" t="n">
        <x:v>0.8889</x:v>
      </x:c>
      <x:c r="I8" s="14" t="n">
        <x:v>0.3333</x:v>
      </x:c>
      <x:c r="J8" s="14" t="n">
        <x:f>0.4*G8+0.35*H8+0.25*I8</x:f>
        <x:v>0.59444</x:v>
      </x:c>
    </x:row>
    <x:row r="9"/>
    <x:row r="10"/>
    <x:row r="11" ht="15" hidden="0" customHeight="1">
      <x:c r="A11" s="8" t="str">
        <x:v>Scenario control</x:v>
      </x:c>
      <x:c r="B11" s="8" t="str">
        <x:v>Value</x:v>
      </x:c>
      <x:c r="C11" s="8" t="str">
        <x:v>Purpose</x:v>
      </x:c>
      <x:c r="D11" s="8" t="str">
        <x:v>Source</x:v>
      </x:c>
    </x:row>
    <x:row r="12" ht="15" hidden="0" customHeight="1">
      <x:c r="A12" t="str">
        <x:v>Growth input</x:v>
      </x:c>
      <x:c r="B12" t="str">
        <x:v>Editable</x:v>
      </x:c>
      <x:c r="C12" t="str">
        <x:v>Scenario-specific demand uplift</x:v>
      </x:c>
      <x:c r="D12" t="str">
        <x:v>resource_scenarios.csv</x:v>
      </x:c>
    </x:row>
    <x:row r="13" ht="15" hidden="0" customHeight="1">
      <x:c r="A13" t="str">
        <x:v>Faculty SCH/FTE</x:v>
      </x:c>
      <x:c r="B13" t="str">
        <x:v>Governed</x:v>
      </x:c>
      <x:c r="C13" t="str">
        <x:v>Instructional capacity denominator</x:v>
      </x:c>
      <x:c r="D13" t="str">
        <x:v>resource_scenarios.csv</x:v>
      </x:c>
    </x:row>
    <x:row r="14" ht="15" hidden="0" customHeight="1">
      <x:c r="A14" t="str">
        <x:v>Room seats</x:v>
      </x:c>
      <x:c r="B14" t="str">
        <x:v>Governed</x:v>
      </x:c>
      <x:c r="C14" t="str">
        <x:v>Required-section denominator</x:v>
      </x:c>
      <x:c r="D14" t="str">
        <x:v>resource_scenarios.csv</x:v>
      </x:c>
    </x:row>
    <x:row r="15"/>
  </x:sheetData>
  <x:conditionalFormatting sqref="G6:J8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dataValidations count="1">
    <x:dataValidation type="decimal" operator="between" sqref="C6:C8">
      <x:formula1>0</x:formula1>
      <x:formula2>0.5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1.220001220703125" hidden="0" customWidth="1"/>
    <x:col min="2" max="2" width="11.779999732971191" hidden="0" customWidth="1"/>
    <x:col min="3" max="3" width="11.5600004196167" hidden="0" customWidth="1"/>
    <x:col min="4" max="4" width="9.5600004196167" hidden="0" customWidth="1"/>
    <x:col min="5" max="5" width="7.670000076293945" hidden="0" customWidth="1"/>
    <x:col min="6" max="6" width="11.329999923706055" hidden="0" customWidth="1"/>
    <x:col min="7" max="7" width="9.5600004196167" hidden="0" customWidth="1"/>
  </x:cols>
  <x:sheetData>
    <x:row r="1" ht="21.600000381469727" hidden="0" customHeight="1">
      <x:c r="A1" s="1" t="str">
        <x:v>Exceptions</x:v>
      </x:c>
    </x:row>
    <x:row r="2" ht="15" hidden="0" customHeight="1">
      <x:c r="A2" s="2" t="str">
        <x:v>Planning variances requiring owner review; red shading indicates material negative variance.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/>
    <x:row r="5" ht="15" hidden="0" customHeight="1">
      <x:c r="A5" s="8" t="str">
        <x:v>Term</x:v>
      </x:c>
      <x:c r="B5" s="8" t="str">
        <x:v>Department</x:v>
      </x:c>
      <x:c r="C5" s="8" t="str">
        <x:v>Scenario</x:v>
      </x:c>
      <x:c r="D5" s="8" t="str">
        <x:v>Forecast</x:v>
      </x:c>
      <x:c r="E5" s="8" t="str">
        <x:v>Actual</x:v>
      </x:c>
      <x:c r="F5" s="8" t="str">
        <x:v>Variance %</x:v>
      </x:c>
      <x:c r="G5" s="8" t="str">
        <x:v>SCH gap</x:v>
      </x:c>
    </x:row>
    <x:row r="6" ht="15" hidden="0" customHeight="1">
      <x:c r="A6" t="str">
        <x:v>FALL25</x:v>
      </x:c>
      <x:c r="B6" t="str">
        <x:v>BUS</x:v>
      </x:c>
      <x:c r="C6" t="str">
        <x:v>APPROVED V1</x:v>
      </x:c>
      <x:c r="D6" t="n">
        <x:v>2</x:v>
      </x:c>
      <x:c r="E6" t="n">
        <x:v>1</x:v>
      </x:c>
      <x:c r="F6" s="14" t="n">
        <x:v>-0.5</x:v>
      </x:c>
      <x:c r="G6" t="n">
        <x:v>-12</x:v>
      </x:c>
    </x:row>
    <x:row r="7" ht="15" hidden="0" customHeight="1">
      <x:c r="A7" t="str">
        <x:v>FALL26</x:v>
      </x:c>
      <x:c r="B7" t="str">
        <x:v>BUS</x:v>
      </x:c>
      <x:c r="C7" t="str">
        <x:v>APPROVED V1</x:v>
      </x:c>
      <x:c r="D7" t="n">
        <x:v>2</x:v>
      </x:c>
      <x:c r="E7" t="n">
        <x:v>1</x:v>
      </x:c>
      <x:c r="F7" s="14" t="n">
        <x:v>-0.5</x:v>
      </x:c>
      <x:c r="G7" t="n">
        <x:v>-12</x:v>
      </x:c>
    </x:row>
    <x:row r="8" ht="15" hidden="0" customHeight="1">
      <x:c r="A8" t="str">
        <x:v>SPRING26</x:v>
      </x:c>
      <x:c r="B8" t="str">
        <x:v>CS</x:v>
      </x:c>
      <x:c r="C8" t="str">
        <x:v>APPROVED V1</x:v>
      </x:c>
      <x:c r="D8" t="n">
        <x:v>3</x:v>
      </x:c>
      <x:c r="E8" t="n">
        <x:v>2</x:v>
      </x:c>
      <x:c r="F8" s="14" t="n">
        <x:v>-0.3333</x:v>
      </x:c>
      <x:c r="G8" t="n">
        <x:v>-18</x:v>
      </x:c>
    </x:row>
    <x:row r="9" ht="15" hidden="0" customHeight="1">
      <x:c r="A9" t="str">
        <x:v>FALL26</x:v>
      </x:c>
      <x:c r="B9" t="str">
        <x:v>CS</x:v>
      </x:c>
      <x:c r="C9" t="str">
        <x:v>APPROVED V1</x:v>
      </x:c>
      <x:c r="D9" t="n">
        <x:v>4</x:v>
      </x:c>
      <x:c r="E9" t="n">
        <x:v>3</x:v>
      </x:c>
      <x:c r="F9" s="14" t="n">
        <x:v>-0.25</x:v>
      </x:c>
      <x:c r="G9" t="n">
        <x:v>-15</x:v>
      </x:c>
    </x:row>
    <x:row r="10" ht="15" hidden="0" customHeight="1">
      <x:c r="F10" s="14"/>
    </x:row>
    <x:row r="11" ht="15" hidden="0" customHeight="1">
      <x:c r="F11" s="14"/>
    </x:row>
    <x:row r="12" ht="15" hidden="0" customHeight="1">
      <x:c r="F12" s="14"/>
    </x:row>
    <x:row r="13" ht="15" hidden="0" customHeight="1">
      <x:c r="F13" s="14"/>
    </x:row>
    <x:row r="14" ht="15" hidden="0" customHeight="1">
      <x:c r="F14" s="14"/>
    </x:row>
    <x:row r="15" ht="15" hidden="0" customHeight="1">
      <x:c r="F15" s="14"/>
    </x:row>
    <x:row r="16" ht="15" hidden="0" customHeight="1">
      <x:c r="F16" s="14"/>
    </x:row>
    <x:row r="17" ht="15" hidden="0" customHeight="1">
      <x:c r="F17" s="14"/>
    </x:row>
    <x:row r="18" ht="15" hidden="0" customHeight="1">
      <x:c r="F18" s="14"/>
    </x:row>
    <x:row r="19" ht="15" hidden="0" customHeight="1">
      <x:c r="F19" s="14"/>
    </x:row>
    <x:row r="20" ht="15" hidden="0" customHeight="1">
      <x:c r="F20" s="14"/>
    </x:row>
  </x:sheetData>
  <x:conditionalFormatting sqref="F6:F20">
    <x:cfRule type="cellIs" dxfId="0" priority="1" operator="lessThan">
      <x:formula>-0.1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52891a90cc44e9"/>
  </x:tableParts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5.439998626708984" hidden="0" customWidth="1"/>
    <x:col min="2" max="2" width="8.220000267028809" hidden="0" customWidth="1"/>
    <x:col min="3" max="3" width="8.890000343322754" hidden="0" customWidth="1"/>
    <x:col min="4" max="4" width="10.4399995803833" hidden="0" customWidth="1"/>
    <x:col min="5" max="5" width="10.329999923706055" hidden="0" customWidth="1"/>
    <x:col min="6" max="6" width="7.670000076293945" hidden="0" customWidth="1"/>
  </x:cols>
  <x:sheetData>
    <x:row r="1" ht="21.600000381469727" hidden="0" customHeight="1">
      <x:c r="A1" s="1" t="str">
        <x:v>Data quality and reconciliation</x:v>
      </x:c>
    </x:row>
    <x:row r="2" ht="15" hidden="0" customHeight="1">
      <x:c r="A2" s="2" t="str">
        <x:v>Curated and reporting totals must match source controls within the stated tolerance.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/>
    <x:row r="5" ht="15" hidden="0" customHeight="1">
      <x:c r="A5" s="8" t="str">
        <x:v>Metric</x:v>
      </x:c>
      <x:c r="B5" s="8" t="str">
        <x:v>Source</x:v>
      </x:c>
      <x:c r="C5" s="8" t="str">
        <x:v>Curated</x:v>
      </x:c>
      <x:c r="D5" s="8" t="str">
        <x:v>Reporting</x:v>
      </x:c>
      <x:c r="E5" s="8" t="str">
        <x:v>Tolerance</x:v>
      </x:c>
      <x:c r="F5" s="8" t="str">
        <x:v>Status</x:v>
      </x:c>
    </x:row>
    <x:row r="6" ht="15" hidden="0" customHeight="1">
      <x:c r="A6" t="str">
        <x:v>active_enrollment_rows</x:v>
      </x:c>
      <x:c r="B6" t="n">
        <x:v>16</x:v>
      </x:c>
      <x:c r="C6" t="n">
        <x:v>16</x:v>
      </x:c>
      <x:c r="D6" t="n">
        <x:v>16</x:v>
      </x:c>
      <x:c r="E6" t="n">
        <x:v>0</x:v>
      </x:c>
      <x:c r="F6" t="str">
        <x:v>PASS</x:v>
      </x:c>
    </x:row>
    <x:row r="7" ht="15" hidden="0" customHeight="1">
      <x:c r="A7" t="str">
        <x:v>active_credit_hours</x:v>
      </x:c>
      <x:c r="B7" t="n">
        <x:v>192</x:v>
      </x:c>
      <x:c r="C7" t="n">
        <x:v>192</x:v>
      </x:c>
      <x:c r="D7" t="n">
        <x:v>192</x:v>
      </x:c>
      <x:c r="E7" t="n">
        <x:v>0.01</x:v>
      </x:c>
      <x:c r="F7" t="str">
        <x:v>PASS</x:v>
      </x:c>
    </x:row>
    <x:row r="8" ht="15" hidden="0" customHeight="1">
      <x:c r="A8" t="str">
        <x:v>enrolled_seats</x:v>
      </x:c>
      <x:c r="B8" t="n">
        <x:v>245</x:v>
      </x:c>
      <x:c r="C8" t="n">
        <x:v>245</x:v>
      </x:c>
      <x:c r="D8" t="n">
        <x:v>245</x:v>
      </x:c>
      <x:c r="E8" t="n">
        <x:v>0</x:v>
      </x:c>
      <x:c r="F8" t="str">
        <x:v>PASS</x:v>
      </x:c>
    </x:row>
    <x:row r="9"/>
    <x:row r="10"/>
    <x:row r="11"/>
    <x:row r="12"/>
  </x:sheetData>
  <x:conditionalFormatting sqref="F6:F10">
    <x:cfRule type="containsText" dxfId="1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64cdc5ae4b874064"/>
  </x:tableParts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45.560001373291016" hidden="0" customWidth="1"/>
    <x:col min="2" max="2" width="55" hidden="0" customWidth="1"/>
    <x:col min="3" max="3" width="14.109999656677246" hidden="0" customWidth="1"/>
  </x:cols>
  <x:sheetData>
    <x:row r="1" ht="21.600000381469727" hidden="0" customHeight="1">
      <x:c r="A1" s="1" t="str">
        <x:v>Definitions and help</x:v>
      </x:c>
    </x:row>
    <x:row r="2" ht="15" hidden="0" customHeight="1">
      <x:c r="A2" s="2" t="str">
        <x:v>Use the governed catalog as the source of truth for released metrics.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/>
    <x:row r="5" ht="15" hidden="0" customHeight="1">
      <x:c r="A5" s="8" t="str">
        <x:v>Topic</x:v>
      </x:c>
      <x:c r="B5" s="8" t="str">
        <x:v>Definition</x:v>
      </x:c>
      <x:c r="C5" s="8" t="str">
        <x:v>Owner</x:v>
      </x:c>
    </x:row>
    <x:row r="6" ht="15" hidden="0" customHeight="1">
      <x:c r="A6" t="str">
        <x:v>Active enrollment</x:v>
      </x:c>
      <x:c r="B6" s="17" t="str">
        <x:v>Distinct students with Active enrollment status at the selected snapshot.</x:v>
      </x:c>
      <x:c r="C6" t="str">
        <x:v>Registrar</x:v>
      </x:c>
    </x:row>
    <x:row r="7" ht="15" hidden="0" customHeight="1">
      <x:c r="A7" t="str">
        <x:v>Withdrawal rate</x:v>
      </x:c>
      <x:c r="B7" s="17" t="str">
        <x:v>Withdrawn students divided by all student-term enrollment records.</x:v>
      </x:c>
      <x:c r="C7" t="str">
        <x:v>Registrar / IRE</x:v>
      </x:c>
    </x:row>
    <x:row r="8" ht="15" hidden="0" customHeight="1">
      <x:c r="A8" t="str">
        <x:v>Course fill rate</x:v>
      </x:c>
      <x:c r="B8" s="17" t="str">
        <x:v>Enrolled seats divided by available seats.</x:v>
      </x:c>
      <x:c r="C8" t="str">
        <x:v>Registrar</x:v>
      </x:c>
    </x:row>
    <x:row r="9" ht="15" hidden="0" customHeight="1">
      <x:c r="A9" t="str">
        <x:v>Resource pressure</x:v>
      </x:c>
      <x:c r="B9" s="17" t="str">
        <x:v>Weighted course, faculty, and room demand-to-capacity ratio.</x:v>
      </x:c>
      <x:c r="C9" t="str">
        <x:v>IRE / Provost</x:v>
      </x:c>
    </x:row>
    <x:row r="10" ht="15" hidden="0" customHeight="1">
      <x:c r="A10" t="str">
        <x:v>Pressure threshold</x:v>
      </x:c>
      <x:c r="B10" s="17" t="str">
        <x:v>Scores above 1.00 indicate weighted demand exceeding the planned capacity.</x:v>
      </x:c>
      <x:c r="C10" t="str">
        <x:v>IRE</x:v>
      </x:c>
    </x:row>
    <x:row r="11" ht="15" hidden="0" customHeight="1">
      <x:c r="A11" t="str">
        <x:v>Scenario inputs</x:v>
      </x:c>
      <x:c r="B11" s="17" t="str">
        <x:v>Growth, section plan, faculty SCH capacity, rooms and slots come from governed resource scenarios.</x:v>
      </x:c>
      <x:c r="C11" t="str">
        <x:v>Registrar / Provost</x:v>
      </x:c>
    </x:row>
    <x:row r="12" ht="15" hidden="0" customHeight="1">
      <x:c r="A12" t="str">
        <x:v>Refresh</x:v>
      </x:c>
      <x:c r="B12" s="17" t="str">
        <x:v>Daily operational data; term census and monthly finance certification follow the charter.</x:v>
      </x:c>
      <x:c r="C12" t="str">
        <x:v>Data owners</x:v>
      </x:c>
    </x:row>
    <x:row r="13" ht="15" hidden="0" customHeight="1">
      <x:c r="A13" t="str">
        <x:v>Source</x:v>
      </x:c>
      <x:c r="B13" s="17" t="str">
        <x:v>SQL database built by src/run_pipeline.py; definitions in docs/kpi_catalog.md.</x:v>
      </x:c>
      <x:c r="C13" t="str">
        <x:v>IRE</x:v>
      </x:c>
    </x:row>
    <x:row r="14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90" hidden="0" customWidth="1"/>
  </x:cols>
  <x:sheetData>
    <x:row r="1">
      <x:c r="A1" s="1" t="str">
        <x:v>Power Query connection</x:v>
      </x:c>
    </x:row>
    <x:row r="2">
      <x:c r="A2" s="2" t="str">
        <x:v>Copy this query into Excel Power Query Advanced Editor after installing an approved SQLite ODBC driver.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5">
      <x:c r="A5" s="8" t="str">
        <x:v>M query</x:v>
      </x:c>
    </x:row>
    <x:row r="6" ht="160" customHeight="1">
      <x:c r="A6" s="20" t="str">
        <x:v>let
  Source = Odbc.DataSource("dsn=CampusOpsSQLite", [HierarchicalNavigation=true]),
  Database = Source{[Name="campus_ops",Kind="Database"]}[Data],
  Enrollment = Value.NativeQuery(Database, "select * from vw_kpi_enrollment_term_org", null, [EnableFolding=true])
in
  Enrollment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2.88999938964844" hidden="0" customWidth="1"/>
    <x:col min="2" max="2" width="10.5600004196167" hidden="0" customWidth="1"/>
    <x:col min="3" max="3" width="9.5600004196167" hidden="0" customWidth="1"/>
    <x:col min="4" max="4" width="5.329999923706055" hidden="0" customWidth="1"/>
    <x:col min="5" max="5" width="16.329999923706055" hidden="0" customWidth="1"/>
    <x:col min="6" max="6" width="13.779999732971191" hidden="0" customWidth="1"/>
    <x:col min="7" max="7" width="16.889999389648438" hidden="0" customWidth="1"/>
    <x:col min="8" max="8" width="12.4399995803833" hidden="0" customWidth="1"/>
    <x:col min="9" max="9" width="13.779999732971191" hidden="0" customWidth="1"/>
    <x:col min="11" max="11" width="6.21999979019165" hidden="0" customWidth="1"/>
    <x:col min="12" max="12" width="9.670000076293945" hidden="0" customWidth="1"/>
    <x:col min="13" max="13" width="6.329999923706055" hidden="0" customWidth="1"/>
    <x:col min="14" max="14" width="5.329999923706055" hidden="0" customWidth="1"/>
    <x:col min="15" max="15" width="16.329999923706055" hidden="0" customWidth="1"/>
    <x:col min="16" max="16" width="7.889999866485596" hidden="0" customWidth="1"/>
    <x:col min="17" max="17" width="17.440000534057617" hidden="0" customWidth="1"/>
    <x:col min="18" max="18" width="13" hidden="0" customWidth="1"/>
    <x:col min="19" max="19" width="15.5600004196167" hidden="0" customWidth="1"/>
    <x:col min="20" max="20" width="14.4399995803833" hidden="0" customWidth="1"/>
    <x:col min="21" max="21" width="14.5600004196167" hidden="0" customWidth="1"/>
    <x:col min="22" max="22" width="13.5600004196167" hidden="0" customWidth="1"/>
    <x:col min="23" max="23" width="17" hidden="0" customWidth="1"/>
    <x:col min="24" max="24" width="17.889999389648438" hidden="0" customWidth="1"/>
  </x:cols>
  <x:sheetData>
    <x:row r="1" ht="21.600000381469727" hidden="0" customHeight="1">
      <x:c r="A1" s="1" t="str">
        <x:v>Model data</x:v>
      </x:c>
    </x:row>
    <x:row r="2" ht="15" hidden="0" customHeight="1">
      <x:c r="A2" s="2" t="str">
        <x:v>Refresh source for workbook formulas and charts. Generated from the governed SQLite model.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/>
    <x:row r="5" ht="15" hidden="0" customHeight="1">
      <x:c r="A5" s="21" t="str">
        <x:v>Term</x:v>
      </x:c>
      <x:c r="B5" s="21" t="str">
        <x:v>Term name</x:v>
      </x:c>
      <x:c r="C5" s="21" t="str">
        <x:v>Start date</x:v>
      </x:c>
      <x:c r="D5" s="21" t="str">
        <x:v>Org</x:v>
      </x:c>
      <x:c r="E5" s="21" t="str">
        <x:v>Org name</x:v>
      </x:c>
      <x:c r="F5" s="21" t="str">
        <x:v>Active students</x:v>
      </x:c>
      <x:c r="G5" s="21" t="str">
        <x:v>Withdrawn students</x:v>
      </x:c>
      <x:c r="H5" s="21" t="str">
        <x:v>Active credits</x:v>
      </x:c>
      <x:c r="I5" s="21" t="str">
        <x:v>Withdrawal rate</x:v>
      </x:c>
      <x:c r="J5" s="22"/>
      <x:c r="K5" s="21" t="str">
        <x:v>Term</x:v>
      </x:c>
      <x:c r="L5" s="21" t="str">
        <x:v>Scenario</x:v>
      </x:c>
      <x:c r="M5" s="21" t="str">
        <x:v>Rank</x:v>
      </x:c>
      <x:c r="N5" s="21" t="str">
        <x:v>Org</x:v>
      </x:c>
      <x:c r="O5" s="21" t="str">
        <x:v>Org name</x:v>
      </x:c>
      <x:c r="P5" s="21" t="str">
        <x:v>Growth</x:v>
      </x:c>
      <x:c r="Q5" s="21" t="str">
        <x:v>Projected enrollment</x:v>
      </x:c>
      <x:c r="R5" s="21" t="str">
        <x:v>Projected SCH</x:v>
      </x:c>
      <x:c r="S5" s="21" t="str">
        <x:v>Required sections</x:v>
      </x:c>
      <x:c r="T5" s="21" t="str">
        <x:v>Course pressure</x:v>
      </x:c>
      <x:c r="U5" s="21" t="str">
        <x:v>Faculty pressure</x:v>
      </x:c>
      <x:c r="V5" s="21" t="str">
        <x:v>Room pressure</x:v>
      </x:c>
      <x:c r="W5" s="21" t="str">
        <x:v>Composite pressure</x:v>
      </x:c>
      <x:c r="X5" s="21" t="str">
        <x:v>Lookup key</x:v>
      </x:c>
    </x:row>
    <x:row r="6" ht="15" hidden="0" customHeight="1">
      <x:c r="A6" s="22" t="str">
        <x:v>FALL25</x:v>
      </x:c>
      <x:c r="B6" s="22" t="str">
        <x:v>Fall 2025</x:v>
      </x:c>
      <x:c r="C6" s="22" t="str">
        <x:v>2025-08-25</x:v>
      </x:c>
      <x:c r="D6" s="22" t="str">
        <x:v>BIO</x:v>
      </x:c>
      <x:c r="E6" s="22" t="str">
        <x:v>Biology</x:v>
      </x:c>
      <x:c r="F6" s="23" t="n">
        <x:v>1</x:v>
      </x:c>
      <x:c r="G6" s="23" t="n">
        <x:v>0</x:v>
      </x:c>
      <x:c r="H6" s="23" t="n">
        <x:v>12</x:v>
      </x:c>
      <x:c r="I6" s="24" t="n">
        <x:v>0</x:v>
      </x:c>
      <x:c r="J6" s="22"/>
      <x:c r="K6" s="22" t="str">
        <x:v>FALL26</x:v>
      </x:c>
      <x:c r="L6" s="22" t="str">
        <x:v>BASELINE</x:v>
      </x:c>
      <x:c r="M6" s="22" t="n">
        <x:v>1</x:v>
      </x:c>
      <x:c r="N6" s="22" t="str">
        <x:v>CS</x:v>
      </x:c>
      <x:c r="O6" s="22" t="str">
        <x:v>Computer Science</x:v>
      </x:c>
      <x:c r="P6" s="24" t="n">
        <x:v>0</x:v>
      </x:c>
      <x:c r="Q6" s="23" t="n">
        <x:v>3</x:v>
      </x:c>
      <x:c r="R6" s="23" t="n">
        <x:v>39</x:v>
      </x:c>
      <x:c r="S6" s="23" t="n">
        <x:v>1</x:v>
      </x:c>
      <x:c r="T6" s="24" t="n">
        <x:v>0.5</x:v>
      </x:c>
      <x:c r="U6" s="24" t="n">
        <x:v>4.3333</x:v>
      </x:c>
      <x:c r="V6" s="24" t="n">
        <x:v>0.3333</x:v>
      </x:c>
      <x:c r="W6" s="24" t="n">
        <x:v>1.8</x:v>
      </x:c>
      <x:c r="X6" s="22" t="str">
        <x:v>FALL26CSBASELINE</x:v>
      </x:c>
    </x:row>
    <x:row r="7" ht="15" hidden="0" customHeight="1">
      <x:c r="A7" s="22" t="str">
        <x:v>FALL25</x:v>
      </x:c>
      <x:c r="B7" s="22" t="str">
        <x:v>Fall 2025</x:v>
      </x:c>
      <x:c r="C7" s="22" t="str">
        <x:v>2025-08-25</x:v>
      </x:c>
      <x:c r="D7" s="22" t="str">
        <x:v>BUS</x:v>
      </x:c>
      <x:c r="E7" s="22" t="str">
        <x:v>Business Administration</x:v>
      </x:c>
      <x:c r="F7" s="23" t="n">
        <x:v>1</x:v>
      </x:c>
      <x:c r="G7" s="23" t="n">
        <x:v>1</x:v>
      </x:c>
      <x:c r="H7" s="23" t="n">
        <x:v>12</x:v>
      </x:c>
      <x:c r="I7" s="24" t="n">
        <x:v>0.5</x:v>
      </x:c>
      <x:c r="J7" s="22"/>
      <x:c r="K7" s="22" t="str">
        <x:v>FALL26</x:v>
      </x:c>
      <x:c r="L7" s="22" t="str">
        <x:v>BASELINE</x:v>
      </x:c>
      <x:c r="M7" s="22" t="n">
        <x:v>2</x:v>
      </x:c>
      <x:c r="N7" s="22" t="str">
        <x:v>BUS</x:v>
      </x:c>
      <x:c r="O7" s="22" t="str">
        <x:v>Business Administration</x:v>
      </x:c>
      <x:c r="P7" s="24" t="n">
        <x:v>0</x:v>
      </x:c>
      <x:c r="Q7" s="23" t="n">
        <x:v>1</x:v>
      </x:c>
      <x:c r="R7" s="23" t="n">
        <x:v>12</x:v>
      </x:c>
      <x:c r="S7" s="23" t="n">
        <x:v>1</x:v>
      </x:c>
      <x:c r="T7" s="24" t="n">
        <x:v>0.5</x:v>
      </x:c>
      <x:c r="U7" s="24" t="n">
        <x:v>1.3333</x:v>
      </x:c>
      <x:c r="V7" s="24" t="n">
        <x:v>0.5</x:v>
      </x:c>
      <x:c r="W7" s="24" t="n">
        <x:v>0.7917</x:v>
      </x:c>
      <x:c r="X7" s="22" t="str">
        <x:v>FALL26BUSBASELINE</x:v>
      </x:c>
    </x:row>
    <x:row r="8" ht="15" hidden="0" customHeight="1">
      <x:c r="A8" s="22" t="str">
        <x:v>FALL25</x:v>
      </x:c>
      <x:c r="B8" s="22" t="str">
        <x:v>Fall 2025</x:v>
      </x:c>
      <x:c r="C8" s="22" t="str">
        <x:v>2025-08-25</x:v>
      </x:c>
      <x:c r="D8" s="22" t="str">
        <x:v>CS</x:v>
      </x:c>
      <x:c r="E8" s="22" t="str">
        <x:v>Computer Science</x:v>
      </x:c>
      <x:c r="F8" s="23" t="n">
        <x:v>3</x:v>
      </x:c>
      <x:c r="G8" s="23" t="n">
        <x:v>0</x:v>
      </x:c>
      <x:c r="H8" s="23" t="n">
        <x:v>33</x:v>
      </x:c>
      <x:c r="I8" s="24" t="n">
        <x:v>0</x:v>
      </x:c>
      <x:c r="J8" s="22"/>
      <x:c r="K8" s="22" t="str">
        <x:v>FALL26</x:v>
      </x:c>
      <x:c r="L8" s="22" t="str">
        <x:v>BASELINE</x:v>
      </x:c>
      <x:c r="M8" s="22" t="n">
        <x:v>3</x:v>
      </x:c>
      <x:c r="N8" s="22" t="str">
        <x:v>BIO</x:v>
      </x:c>
      <x:c r="O8" s="22" t="str">
        <x:v>Biology</x:v>
      </x:c>
      <x:c r="P8" s="24" t="n">
        <x:v>0</x:v>
      </x:c>
      <x:c r="Q8" s="23" t="n">
        <x:v>2</x:v>
      </x:c>
      <x:c r="R8" s="23" t="n">
        <x:v>24</x:v>
      </x:c>
      <x:c r="S8" s="23" t="n">
        <x:v>1</x:v>
      </x:c>
      <x:c r="T8" s="24" t="n">
        <x:v>0.5</x:v>
      </x:c>
      <x:c r="U8" s="24" t="n">
        <x:v>0.8889</x:v>
      </x:c>
      <x:c r="V8" s="24" t="n">
        <x:v>0.3333</x:v>
      </x:c>
      <x:c r="W8" s="24" t="n">
        <x:v>0.5944</x:v>
      </x:c>
      <x:c r="X8" s="22" t="str">
        <x:v>FALL26BIOBASELINE</x:v>
      </x:c>
    </x:row>
    <x:row r="9" ht="15" hidden="0" customHeight="1">
      <x:c r="A9" s="22" t="str">
        <x:v>SPRING26</x:v>
      </x:c>
      <x:c r="B9" s="22" t="str">
        <x:v>Spring 2026</x:v>
      </x:c>
      <x:c r="C9" s="22" t="str">
        <x:v>2026-01-13</x:v>
      </x:c>
      <x:c r="D9" s="22" t="str">
        <x:v>BIO</x:v>
      </x:c>
      <x:c r="E9" s="22" t="str">
        <x:v>Biology</x:v>
      </x:c>
      <x:c r="F9" s="23" t="n">
        <x:v>2</x:v>
      </x:c>
      <x:c r="G9" s="23" t="n">
        <x:v>0</x:v>
      </x:c>
      <x:c r="H9" s="23" t="n">
        <x:v>24</x:v>
      </x:c>
      <x:c r="I9" s="24" t="n">
        <x:v>0</x:v>
      </x:c>
      <x:c r="J9" s="22"/>
      <x:c r="K9" s="22" t="str">
        <x:v>FALL26</x:v>
      </x:c>
      <x:c r="L9" s="22" t="str">
        <x:v>GROWTH_10</x:v>
      </x:c>
      <x:c r="M9" s="22" t="n">
        <x:v>1</x:v>
      </x:c>
      <x:c r="N9" s="22" t="str">
        <x:v>CS</x:v>
      </x:c>
      <x:c r="O9" s="22" t="str">
        <x:v>Computer Science</x:v>
      </x:c>
      <x:c r="P9" s="24" t="n">
        <x:v>0.1</x:v>
      </x:c>
      <x:c r="Q9" s="23" t="n">
        <x:v>3.3000000000000003</x:v>
      </x:c>
      <x:c r="R9" s="23" t="n">
        <x:v>42.900000000000006</x:v>
      </x:c>
      <x:c r="S9" s="23" t="n">
        <x:v>1</x:v>
      </x:c>
      <x:c r="T9" s="24" t="n">
        <x:v>0.5</x:v>
      </x:c>
      <x:c r="U9" s="24" t="n">
        <x:v>4.7667</x:v>
      </x:c>
      <x:c r="V9" s="24" t="n">
        <x:v>0.3333</x:v>
      </x:c>
      <x:c r="W9" s="24" t="n">
        <x:v>1.9517</x:v>
      </x:c>
      <x:c r="X9" s="22" t="str">
        <x:v>FALL26CSGROWTH_10</x:v>
      </x:c>
    </x:row>
    <x:row r="10" ht="15" hidden="0" customHeight="1">
      <x:c r="A10" s="22" t="str">
        <x:v>SPRING26</x:v>
      </x:c>
      <x:c r="B10" s="22" t="str">
        <x:v>Spring 2026</x:v>
      </x:c>
      <x:c r="C10" s="22" t="str">
        <x:v>2026-01-13</x:v>
      </x:c>
      <x:c r="D10" s="22" t="str">
        <x:v>BUS</x:v>
      </x:c>
      <x:c r="E10" s="22" t="str">
        <x:v>Business Administration</x:v>
      </x:c>
      <x:c r="F10" s="23" t="n">
        <x:v>1</x:v>
      </x:c>
      <x:c r="G10" s="23" t="n">
        <x:v>0</x:v>
      </x:c>
      <x:c r="H10" s="23" t="n">
        <x:v>12</x:v>
      </x:c>
      <x:c r="I10" s="24" t="n">
        <x:v>0</x:v>
      </x:c>
      <x:c r="J10" s="22"/>
      <x:c r="K10" s="22" t="str">
        <x:v>FALL26</x:v>
      </x:c>
      <x:c r="L10" s="22" t="str">
        <x:v>GROWTH_10</x:v>
      </x:c>
      <x:c r="M10" s="22" t="n">
        <x:v>2</x:v>
      </x:c>
      <x:c r="N10" s="22" t="str">
        <x:v>BUS</x:v>
      </x:c>
      <x:c r="O10" s="22" t="str">
        <x:v>Business Administration</x:v>
      </x:c>
      <x:c r="P10" s="24" t="n">
        <x:v>0.1</x:v>
      </x:c>
      <x:c r="Q10" s="23" t="n">
        <x:v>1.1</x:v>
      </x:c>
      <x:c r="R10" s="23" t="n">
        <x:v>13.200000000000001</x:v>
      </x:c>
      <x:c r="S10" s="23" t="n">
        <x:v>1</x:v>
      </x:c>
      <x:c r="T10" s="24" t="n">
        <x:v>0.5</x:v>
      </x:c>
      <x:c r="U10" s="24" t="n">
        <x:v>1.4667</x:v>
      </x:c>
      <x:c r="V10" s="24" t="n">
        <x:v>0.5</x:v>
      </x:c>
      <x:c r="W10" s="24" t="n">
        <x:v>0.8383</x:v>
      </x:c>
      <x:c r="X10" s="22" t="str">
        <x:v>FALL26BUSGROWTH_10</x:v>
      </x:c>
    </x:row>
    <x:row r="11" ht="15" hidden="0" customHeight="1">
      <x:c r="A11" s="22" t="str">
        <x:v>SPRING26</x:v>
      </x:c>
      <x:c r="B11" s="22" t="str">
        <x:v>Spring 2026</x:v>
      </x:c>
      <x:c r="C11" s="22" t="str">
        <x:v>2026-01-13</x:v>
      </x:c>
      <x:c r="D11" s="22" t="str">
        <x:v>CS</x:v>
      </x:c>
      <x:c r="E11" s="22" t="str">
        <x:v>Computer Science</x:v>
      </x:c>
      <x:c r="F11" s="23" t="n">
        <x:v>2</x:v>
      </x:c>
      <x:c r="G11" s="23" t="n">
        <x:v>1</x:v>
      </x:c>
      <x:c r="H11" s="23" t="n">
        <x:v>24</x:v>
      </x:c>
      <x:c r="I11" s="24" t="n">
        <x:v>0.3333</x:v>
      </x:c>
      <x:c r="J11" s="22"/>
      <x:c r="K11" s="22" t="str">
        <x:v>FALL26</x:v>
      </x:c>
      <x:c r="L11" s="22" t="str">
        <x:v>GROWTH_10</x:v>
      </x:c>
      <x:c r="M11" s="22" t="n">
        <x:v>3</x:v>
      </x:c>
      <x:c r="N11" s="22" t="str">
        <x:v>BIO</x:v>
      </x:c>
      <x:c r="O11" s="22" t="str">
        <x:v>Biology</x:v>
      </x:c>
      <x:c r="P11" s="24" t="n">
        <x:v>0.1</x:v>
      </x:c>
      <x:c r="Q11" s="23" t="n">
        <x:v>2.2</x:v>
      </x:c>
      <x:c r="R11" s="23" t="n">
        <x:v>26.400000000000002</x:v>
      </x:c>
      <x:c r="S11" s="23" t="n">
        <x:v>1</x:v>
      </x:c>
      <x:c r="T11" s="24" t="n">
        <x:v>0.5</x:v>
      </x:c>
      <x:c r="U11" s="24" t="n">
        <x:v>0.9778</x:v>
      </x:c>
      <x:c r="V11" s="24" t="n">
        <x:v>0.3333</x:v>
      </x:c>
      <x:c r="W11" s="24" t="n">
        <x:v>0.6256</x:v>
      </x:c>
      <x:c r="X11" s="22" t="str">
        <x:v>FALL26BIOGROWTH_10</x:v>
      </x:c>
    </x:row>
    <x:row r="12" ht="15" hidden="0" customHeight="1">
      <x:c r="A12" s="22" t="str">
        <x:v>FALL26</x:v>
      </x:c>
      <x:c r="B12" s="22" t="str">
        <x:v>Fall 2026</x:v>
      </x:c>
      <x:c r="C12" s="22" t="str">
        <x:v>2026-08-24</x:v>
      </x:c>
      <x:c r="D12" s="22" t="str">
        <x:v>BIO</x:v>
      </x:c>
      <x:c r="E12" s="22" t="str">
        <x:v>Biology</x:v>
      </x:c>
      <x:c r="F12" s="23" t="n">
        <x:v>2</x:v>
      </x:c>
      <x:c r="G12" s="23" t="n">
        <x:v>0</x:v>
      </x:c>
      <x:c r="H12" s="23" t="n">
        <x:v>24</x:v>
      </x:c>
      <x:c r="I12" s="24" t="n">
        <x:v>0</x:v>
      </x:c>
      <x:c r="J12" s="22"/>
      <x:c r="K12" s="22"/>
      <x:c r="L12" s="22"/>
      <x:c r="M12" s="22"/>
      <x:c r="N12" s="22"/>
      <x:c r="O12" s="22"/>
      <x:c r="P12" s="24"/>
      <x:c r="Q12" s="23"/>
      <x:c r="R12" s="23"/>
      <x:c r="S12" s="23"/>
      <x:c r="T12" s="24"/>
      <x:c r="U12" s="24"/>
      <x:c r="V12" s="24"/>
      <x:c r="W12" s="24"/>
      <x:c r="X12" s="22"/>
    </x:row>
    <x:row r="13" ht="15" hidden="0" customHeight="1">
      <x:c r="A13" s="22" t="str">
        <x:v>FALL26</x:v>
      </x:c>
      <x:c r="B13" s="22" t="str">
        <x:v>Fall 2026</x:v>
      </x:c>
      <x:c r="C13" s="22" t="str">
        <x:v>2026-08-24</x:v>
      </x:c>
      <x:c r="D13" s="22" t="str">
        <x:v>BUS</x:v>
      </x:c>
      <x:c r="E13" s="22" t="str">
        <x:v>Business Administration</x:v>
      </x:c>
      <x:c r="F13" s="23" t="n">
        <x:v>1</x:v>
      </x:c>
      <x:c r="G13" s="23" t="n">
        <x:v>1</x:v>
      </x:c>
      <x:c r="H13" s="23" t="n">
        <x:v>12</x:v>
      </x:c>
      <x:c r="I13" s="24" t="n">
        <x:v>0.5</x:v>
      </x:c>
      <x:c r="J13" s="22"/>
      <x:c r="K13" s="22"/>
      <x:c r="L13" s="22"/>
      <x:c r="M13" s="22"/>
      <x:c r="N13" s="22"/>
      <x:c r="O13" s="22"/>
      <x:c r="P13" s="24"/>
      <x:c r="Q13" s="23"/>
      <x:c r="R13" s="23"/>
      <x:c r="S13" s="23"/>
      <x:c r="T13" s="24"/>
      <x:c r="U13" s="24"/>
      <x:c r="V13" s="24"/>
      <x:c r="W13" s="24"/>
      <x:c r="X13" s="22"/>
    </x:row>
    <x:row r="14" ht="15" hidden="0" customHeight="1">
      <x:c r="A14" s="22" t="str">
        <x:v>FALL26</x:v>
      </x:c>
      <x:c r="B14" s="22" t="str">
        <x:v>Fall 2026</x:v>
      </x:c>
      <x:c r="C14" s="22" t="str">
        <x:v>2026-08-24</x:v>
      </x:c>
      <x:c r="D14" s="22" t="str">
        <x:v>CS</x:v>
      </x:c>
      <x:c r="E14" s="22" t="str">
        <x:v>Computer Science</x:v>
      </x:c>
      <x:c r="F14" s="23" t="n">
        <x:v>3</x:v>
      </x:c>
      <x:c r="G14" s="23" t="n">
        <x:v>0</x:v>
      </x:c>
      <x:c r="H14" s="23" t="n">
        <x:v>39</x:v>
      </x:c>
      <x:c r="I14" s="24" t="n">
        <x:v>0</x:v>
      </x:c>
      <x:c r="J14" s="22"/>
      <x:c r="K14" s="22"/>
      <x:c r="L14" s="22"/>
      <x:c r="M14" s="22"/>
      <x:c r="N14" s="22"/>
      <x:c r="O14" s="22"/>
      <x:c r="P14" s="24"/>
      <x:c r="Q14" s="23"/>
      <x:c r="R14" s="23"/>
      <x:c r="S14" s="23"/>
      <x:c r="T14" s="24"/>
      <x:c r="U14" s="24"/>
      <x:c r="V14" s="24"/>
      <x:c r="W14" s="24"/>
      <x:c r="X14" s="22"/>
    </x:row>
    <x:row r="15" ht="15" hidden="0" customHeight="1">
      <x:c r="A15" s="22"/>
      <x:c r="B15" s="22"/>
      <x:c r="C15" s="22"/>
      <x:c r="D15" s="22"/>
      <x:c r="E15" s="22"/>
      <x:c r="F15" s="23"/>
      <x:c r="G15" s="23"/>
      <x:c r="H15" s="23"/>
      <x:c r="I15" s="24"/>
      <x:c r="J15" s="22"/>
      <x:c r="K15" s="22"/>
      <x:c r="L15" s="22"/>
      <x:c r="M15" s="22"/>
      <x:c r="N15" s="22"/>
      <x:c r="O15" s="22"/>
      <x:c r="P15" s="24"/>
      <x:c r="Q15" s="23"/>
      <x:c r="R15" s="23"/>
      <x:c r="S15" s="23"/>
      <x:c r="T15" s="24"/>
      <x:c r="U15" s="24"/>
      <x:c r="V15" s="24"/>
      <x:c r="W15" s="24"/>
      <x:c r="X15" s="22"/>
    </x:row>
    <x:row r="16" ht="15" hidden="0" customHeight="1">
      <x:c r="A16" s="22"/>
      <x:c r="B16" s="22"/>
      <x:c r="C16" s="22"/>
      <x:c r="D16" s="22"/>
      <x:c r="E16" s="22"/>
      <x:c r="F16" s="23"/>
      <x:c r="G16" s="23"/>
      <x:c r="H16" s="23"/>
      <x:c r="I16" s="24"/>
      <x:c r="J16" s="22"/>
      <x:c r="K16" s="22"/>
      <x:c r="L16" s="22"/>
      <x:c r="M16" s="22"/>
      <x:c r="N16" s="22"/>
      <x:c r="O16" s="22"/>
      <x:c r="P16" s="24"/>
      <x:c r="Q16" s="23"/>
      <x:c r="R16" s="23"/>
      <x:c r="S16" s="23"/>
      <x:c r="T16" s="24"/>
      <x:c r="U16" s="24"/>
      <x:c r="V16" s="24"/>
      <x:c r="W16" s="24"/>
      <x:c r="X16" s="22"/>
    </x:row>
    <x:row r="17" ht="15" hidden="0" customHeight="1">
      <x:c r="A17" s="22"/>
      <x:c r="B17" s="22"/>
      <x:c r="C17" s="22"/>
      <x:c r="D17" s="22"/>
      <x:c r="E17" s="22"/>
      <x:c r="F17" s="23"/>
      <x:c r="G17" s="23"/>
      <x:c r="H17" s="23"/>
      <x:c r="I17" s="24"/>
      <x:c r="J17" s="22"/>
      <x:c r="K17" s="22"/>
      <x:c r="L17" s="22"/>
      <x:c r="M17" s="22"/>
      <x:c r="N17" s="22"/>
      <x:c r="O17" s="22"/>
      <x:c r="P17" s="24"/>
      <x:c r="Q17" s="23"/>
      <x:c r="R17" s="23"/>
      <x:c r="S17" s="23"/>
      <x:c r="T17" s="24"/>
      <x:c r="U17" s="24"/>
      <x:c r="V17" s="24"/>
      <x:c r="W17" s="24"/>
      <x:c r="X17" s="22"/>
    </x:row>
    <x:row r="18" ht="15" hidden="0" customHeight="1">
      <x:c r="A18" s="22"/>
      <x:c r="B18" s="22"/>
      <x:c r="C18" s="22"/>
      <x:c r="D18" s="22"/>
      <x:c r="E18" s="22"/>
      <x:c r="F18" s="23"/>
      <x:c r="G18" s="23"/>
      <x:c r="H18" s="23"/>
      <x:c r="I18" s="24"/>
      <x:c r="J18" s="22"/>
      <x:c r="K18" s="22"/>
      <x:c r="L18" s="22"/>
      <x:c r="M18" s="22"/>
      <x:c r="N18" s="22"/>
      <x:c r="O18" s="22"/>
      <x:c r="P18" s="24"/>
      <x:c r="Q18" s="23"/>
      <x:c r="R18" s="23"/>
      <x:c r="S18" s="23"/>
      <x:c r="T18" s="24"/>
      <x:c r="U18" s="24"/>
      <x:c r="V18" s="24"/>
      <x:c r="W18" s="24"/>
      <x:c r="X18" s="22"/>
    </x:row>
    <x:row r="19" ht="15" hidden="0" customHeight="1">
      <x:c r="A19" s="22"/>
      <x:c r="B19" s="22"/>
      <x:c r="C19" s="22"/>
      <x:c r="D19" s="22"/>
      <x:c r="E19" s="22"/>
      <x:c r="F19" s="23"/>
      <x:c r="G19" s="23"/>
      <x:c r="H19" s="23"/>
      <x:c r="I19" s="24"/>
      <x:c r="J19" s="22"/>
      <x:c r="K19" s="22"/>
      <x:c r="L19" s="22"/>
      <x:c r="M19" s="22"/>
      <x:c r="N19" s="22"/>
      <x:c r="O19" s="22"/>
      <x:c r="P19" s="24"/>
      <x:c r="Q19" s="23"/>
      <x:c r="R19" s="23"/>
      <x:c r="S19" s="23"/>
      <x:c r="T19" s="24"/>
      <x:c r="U19" s="24"/>
      <x:c r="V19" s="24"/>
      <x:c r="W19" s="24"/>
      <x:c r="X19" s="22"/>
    </x:row>
    <x:row r="20" ht="15" hidden="0" customHeight="1">
      <x:c r="A20" s="22"/>
      <x:c r="B20" s="22"/>
      <x:c r="C20" s="22"/>
      <x:c r="D20" s="22"/>
      <x:c r="E20" s="22"/>
      <x:c r="F20" s="23"/>
      <x:c r="G20" s="23"/>
      <x:c r="H20" s="23"/>
      <x:c r="I20" s="24"/>
      <x:c r="J20" s="22"/>
      <x:c r="K20" s="22"/>
      <x:c r="L20" s="22"/>
      <x:c r="M20" s="22"/>
      <x:c r="N20" s="22"/>
      <x:c r="O20" s="22"/>
      <x:c r="P20" s="24"/>
      <x:c r="Q20" s="23"/>
      <x:c r="R20" s="23"/>
      <x:c r="S20" s="23"/>
      <x:c r="T20" s="24"/>
      <x:c r="U20" s="24"/>
      <x:c r="V20" s="24"/>
      <x:c r="W20" s="24"/>
      <x:c r="X20" s="22"/>
    </x:row>
  </x:sheetData>
  <x:pageMargins left="0.7" right="0.7" top="0.75" bottom="0.75" header="0.3" footer="0.3"/>
  <x:tableParts count="2">
    <x:tablePart xmlns:r="http://schemas.openxmlformats.org/officeDocument/2006/relationships" r:id="R82a0876cbccb4cd9"/>
    <x:tablePart xmlns:r="http://schemas.openxmlformats.org/officeDocument/2006/relationships" r:id="Rf7c766f0f80b4cff"/>
  </x:tableParts>
</x:worksheet>
</file>